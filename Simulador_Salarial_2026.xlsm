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showHorizontalScroll="0" showVerticalScroll="0" xWindow="480" yWindow="90" windowWidth="19155" windowHeight="7755" activeTab="2"/>
  </bookViews>
  <sheets>
    <sheet name="parametros" sheetId="1" r:id="rId1"/>
    <sheet name="Calculadora" sheetId="2" r:id="rId2"/>
    <sheet name="Plan3" sheetId="3" r:id="rId3"/>
  </sheets>
  <definedNames>
    <definedName name="_xlnm.Print_Area" localSheetId="1">Calculadora!$A$3:$E$31</definedName>
    <definedName name="Input_Salario">Calculadora!$B$5</definedName>
  </definedNames>
  <calcPr calcId="144525"/>
</workbook>
</file>

<file path=xl/calcChain.xml><?xml version="1.0" encoding="utf-8"?>
<calcChain xmlns="http://schemas.openxmlformats.org/spreadsheetml/2006/main">
  <c r="E5" i="2" l="1"/>
  <c r="E7" i="2" l="1"/>
  <c r="E10" i="2" s="1"/>
  <c r="B7" i="2"/>
  <c r="B10" i="2" s="1"/>
  <c r="B15" i="2" s="1"/>
  <c r="C15" i="2" l="1"/>
</calcChain>
</file>

<file path=xl/sharedStrings.xml><?xml version="1.0" encoding="utf-8"?>
<sst xmlns="http://schemas.openxmlformats.org/spreadsheetml/2006/main" count="14" uniqueCount="14">
  <si>
    <t>Limite</t>
  </si>
  <si>
    <t>Alíquota</t>
  </si>
  <si>
    <t>Dedução</t>
  </si>
  <si>
    <t>Desconto Previdenciário (INSS)</t>
  </si>
  <si>
    <t>Faturamento Bruto (Nota Fiscal)</t>
  </si>
  <si>
    <t>(-) Imposto Simples Nacional (Anexo III - 6%)</t>
  </si>
  <si>
    <t>(-) Contador / Taxas</t>
  </si>
  <si>
    <t>Item</t>
  </si>
  <si>
    <t>CLT (Anual)</t>
  </si>
  <si>
    <t>PJ (Anual)</t>
  </si>
  <si>
    <t>Total no Bolso</t>
  </si>
  <si>
    <t>LÍQUIDO PJ MENSAL</t>
  </si>
  <si>
    <t>Salário Bruto CLT</t>
  </si>
  <si>
    <t>LÍQUIDO CLT MENSAL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</si>
</sst>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R$&quot;* #,##0.00_);_(&quot;R$&quot;* \(#,##0.00\);_(&quot;R$&quot;* &quot;-&quot;??_);_(@_)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1F1F1F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b/>
      <sz val="10"/>
      <name val="Google Sans Text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3" fillId="0" borderId="1" xfId="0" applyFont="1" applyBorder="1" applyAlignment="1">
      <alignment horizontal="left" vertical="center" wrapText="1" indent="1" readingOrder="1"/>
    </xf>
    <xf numFmtId="0" fontId="4" fillId="0" borderId="0" xfId="0" applyFont="1" applyBorder="1" applyAlignment="1">
      <alignment wrapText="1"/>
    </xf>
    <xf numFmtId="0" fontId="4" fillId="0" borderId="0" xfId="0" applyFont="1" applyBorder="1" applyAlignment="1">
      <alignment horizontal="right" wrapText="1"/>
    </xf>
    <xf numFmtId="9" fontId="4" fillId="0" borderId="0" xfId="0" applyNumberFormat="1" applyFont="1" applyBorder="1" applyAlignment="1">
      <alignment horizontal="right" wrapText="1"/>
    </xf>
    <xf numFmtId="10" fontId="4" fillId="0" borderId="0" xfId="0" applyNumberFormat="1" applyFont="1" applyBorder="1" applyAlignment="1">
      <alignment horizontal="right" wrapText="1"/>
    </xf>
    <xf numFmtId="0" fontId="4" fillId="0" borderId="0" xfId="0" applyFont="1" applyBorder="1" applyAlignment="1">
      <alignment horizontal="center" wrapText="1"/>
    </xf>
    <xf numFmtId="0" fontId="2" fillId="0" borderId="0" xfId="0" applyFont="1"/>
    <xf numFmtId="0" fontId="0" fillId="0" borderId="0" xfId="0" applyBorder="1"/>
    <xf numFmtId="164" fontId="6" fillId="2" borderId="1" xfId="1" applyFont="1" applyFill="1" applyBorder="1" applyAlignment="1">
      <alignment horizontal="left" vertical="center" wrapText="1" indent="1" readingOrder="1"/>
    </xf>
    <xf numFmtId="164" fontId="5" fillId="0" borderId="0" xfId="1" applyFont="1"/>
    <xf numFmtId="164" fontId="0" fillId="0" borderId="0" xfId="1" applyFont="1"/>
    <xf numFmtId="164" fontId="2" fillId="3" borderId="2" xfId="1" applyFont="1" applyFill="1" applyBorder="1" applyProtection="1">
      <protection locked="0"/>
    </xf>
    <xf numFmtId="0" fontId="0" fillId="4" borderId="0" xfId="0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ED584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u="none" strike="noStrike" baseline="0"/>
              <a:t>Comparativo Anual: CLT vs PJ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(Calculadora!$B$14,Calculadora!$C$14)</c:f>
              <c:strCache>
                <c:ptCount val="2"/>
                <c:pt idx="0">
                  <c:v>CLT (Anual)</c:v>
                </c:pt>
                <c:pt idx="1">
                  <c:v>PJ (Anual)</c:v>
                </c:pt>
              </c:strCache>
            </c:strRef>
          </c:cat>
          <c:val>
            <c:numRef>
              <c:f>(Calculadora!$B$15,Calculadora!$C$15)</c:f>
              <c:numCache>
                <c:formatCode>_("R$"* #,##0.00_);_("R$"* \(#,##0.00\);_("R$"*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700096"/>
        <c:axId val="203701632"/>
      </c:barChart>
      <c:catAx>
        <c:axId val="203700096"/>
        <c:scaling>
          <c:orientation val="minMax"/>
        </c:scaling>
        <c:delete val="0"/>
        <c:axPos val="b"/>
        <c:majorTickMark val="out"/>
        <c:minorTickMark val="none"/>
        <c:tickLblPos val="nextTo"/>
        <c:crossAx val="203701632"/>
        <c:crosses val="autoZero"/>
        <c:auto val="1"/>
        <c:lblAlgn val="ctr"/>
        <c:lblOffset val="100"/>
        <c:noMultiLvlLbl val="0"/>
      </c:catAx>
      <c:valAx>
        <c:axId val="203701632"/>
        <c:scaling>
          <c:orientation val="minMax"/>
        </c:scaling>
        <c:delete val="0"/>
        <c:axPos val="l"/>
        <c:majorGridlines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203700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333377</xdr:colOff>
      <xdr:row>2</xdr:row>
      <xdr:rowOff>47626</xdr:rowOff>
    </xdr:from>
    <xdr:to>
      <xdr:col>4</xdr:col>
      <xdr:colOff>994834</xdr:colOff>
      <xdr:row>3</xdr:row>
      <xdr:rowOff>21167</xdr:rowOff>
    </xdr:to>
    <xdr:sp macro="" textlink="">
      <xdr:nvSpPr>
        <xdr:cNvPr id="2" name="CaixaDeTexto 1"/>
        <xdr:cNvSpPr txBox="1"/>
      </xdr:nvSpPr>
      <xdr:spPr>
        <a:xfrm>
          <a:off x="333377" y="47626"/>
          <a:ext cx="7445374" cy="16404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SIMULADOR DE CONTRATAÇÃO 2026</a:t>
          </a:r>
        </a:p>
      </xdr:txBody>
    </xdr:sp>
    <xdr:clientData/>
  </xdr:twoCellAnchor>
  <xdr:twoCellAnchor>
    <xdr:from>
      <xdr:col>0</xdr:col>
      <xdr:colOff>1789642</xdr:colOff>
      <xdr:row>17</xdr:row>
      <xdr:rowOff>170392</xdr:rowOff>
    </xdr:from>
    <xdr:to>
      <xdr:col>3</xdr:col>
      <xdr:colOff>2332567</xdr:colOff>
      <xdr:row>30</xdr:row>
      <xdr:rowOff>56092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15</xdr:row>
      <xdr:rowOff>39162</xdr:rowOff>
    </xdr:from>
    <xdr:to>
      <xdr:col>4</xdr:col>
      <xdr:colOff>1038225</xdr:colOff>
      <xdr:row>17</xdr:row>
      <xdr:rowOff>105834</xdr:rowOff>
    </xdr:to>
    <xdr:sp macro="" textlink="">
      <xdr:nvSpPr>
        <xdr:cNvPr id="4" name="CaixaDeTexto 3"/>
        <xdr:cNvSpPr txBox="1"/>
      </xdr:nvSpPr>
      <xdr:spPr>
        <a:xfrm>
          <a:off x="47625" y="2589745"/>
          <a:ext cx="7774517" cy="4476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/>
            <a:t>* Simulação baseada nas regras tributárias vigentes para 2026. O cálculo CLT inclui provisões de 13º, férias (+1/3) e FGTS. O cálculo PJ assume enquadramento no Simples Nacional (Anexo III) com alíquota de 6% e custos fixos de contabilidade. Valores podem variar conforme benefícios específicos e convenções coletivas.</a:t>
          </a:r>
          <a:endParaRPr lang="pt-BR" sz="1100"/>
        </a:p>
      </xdr:txBody>
    </xdr:sp>
    <xdr:clientData/>
  </xdr:twoCellAnchor>
  <xdr:twoCellAnchor>
    <xdr:from>
      <xdr:col>3</xdr:col>
      <xdr:colOff>2333625</xdr:colOff>
      <xdr:row>12</xdr:row>
      <xdr:rowOff>190499</xdr:rowOff>
    </xdr:from>
    <xdr:to>
      <xdr:col>4</xdr:col>
      <xdr:colOff>1000125</xdr:colOff>
      <xdr:row>14</xdr:row>
      <xdr:rowOff>123824</xdr:rowOff>
    </xdr:to>
    <xdr:sp macro="[0]!NovaSimulacao" textlink="">
      <xdr:nvSpPr>
        <xdr:cNvPr id="5" name="Retângulo de cantos arredondados 4"/>
        <xdr:cNvSpPr/>
      </xdr:nvSpPr>
      <xdr:spPr>
        <a:xfrm>
          <a:off x="6362700" y="2133599"/>
          <a:ext cx="1419225" cy="523875"/>
        </a:xfrm>
        <a:prstGeom prst="roundRect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b="1">
              <a:solidFill>
                <a:sysClr val="windowText" lastClr="000000"/>
              </a:solidFill>
            </a:rPr>
            <a:t>NOVA SIMULAÇÃO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781050</xdr:colOff>
      <xdr:row>12</xdr:row>
      <xdr:rowOff>190499</xdr:rowOff>
    </xdr:from>
    <xdr:to>
      <xdr:col>3</xdr:col>
      <xdr:colOff>2190750</xdr:colOff>
      <xdr:row>14</xdr:row>
      <xdr:rowOff>104774</xdr:rowOff>
    </xdr:to>
    <xdr:sp macro="[0]!CalcularEquivalencia" textlink="">
      <xdr:nvSpPr>
        <xdr:cNvPr id="6" name="Retângulo de cantos arredondados 5"/>
        <xdr:cNvSpPr/>
      </xdr:nvSpPr>
      <xdr:spPr>
        <a:xfrm>
          <a:off x="4810125" y="2133599"/>
          <a:ext cx="1409700" cy="50482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b="1">
              <a:solidFill>
                <a:sysClr val="windowText" lastClr="000000"/>
              </a:solidFill>
            </a:rPr>
            <a:t>CALCULAR EQUIVALÊNCIA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585107</xdr:colOff>
      <xdr:row>31</xdr:row>
      <xdr:rowOff>54429</xdr:rowOff>
    </xdr:from>
    <xdr:to>
      <xdr:col>3</xdr:col>
      <xdr:colOff>489857</xdr:colOff>
      <xdr:row>33</xdr:row>
      <xdr:rowOff>81643</xdr:rowOff>
    </xdr:to>
    <xdr:sp macro="[0]!SairDoApp" textlink="">
      <xdr:nvSpPr>
        <xdr:cNvPr id="7" name="Retângulo de cantos arredondados 6"/>
        <xdr:cNvSpPr/>
      </xdr:nvSpPr>
      <xdr:spPr>
        <a:xfrm>
          <a:off x="3565071" y="6055179"/>
          <a:ext cx="952500" cy="40821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n w="3175">
                <a:noFill/>
              </a:ln>
              <a:solidFill>
                <a:sysClr val="windowText" lastClr="000000"/>
              </a:solidFill>
            </a:rPr>
            <a:t>SAIR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390525</xdr:colOff>
      <xdr:row>27</xdr:row>
      <xdr:rowOff>123825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67325" cy="52673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9"/>
  <sheetViews>
    <sheetView showGridLines="0" showRowColHeaders="0" workbookViewId="0">
      <selection activeCell="F8" sqref="F8"/>
    </sheetView>
  </sheetViews>
  <sheetFormatPr defaultRowHeight="15"/>
  <sheetData>
    <row r="1" spans="1:3">
      <c r="A1" s="2" t="s">
        <v>0</v>
      </c>
      <c r="B1" s="2" t="s">
        <v>1</v>
      </c>
      <c r="C1" s="2" t="s">
        <v>2</v>
      </c>
    </row>
    <row r="2" spans="1:3">
      <c r="A2" s="3">
        <v>2428.8000000000002</v>
      </c>
      <c r="B2" s="4">
        <v>0</v>
      </c>
      <c r="C2" s="3">
        <v>0</v>
      </c>
    </row>
    <row r="3" spans="1:3">
      <c r="A3" s="3">
        <v>2826.65</v>
      </c>
      <c r="B3" s="5">
        <v>7.4999999999999997E-2</v>
      </c>
      <c r="C3" s="3">
        <v>182.16</v>
      </c>
    </row>
    <row r="4" spans="1:3">
      <c r="A4" s="3">
        <v>3751.05</v>
      </c>
      <c r="B4" s="5">
        <v>0.15</v>
      </c>
      <c r="C4" s="3">
        <v>394.16</v>
      </c>
    </row>
    <row r="5" spans="1:3">
      <c r="A5" s="3">
        <v>4664.68</v>
      </c>
      <c r="B5" s="5">
        <v>0.22500000000000001</v>
      </c>
      <c r="C5" s="3">
        <v>675.49</v>
      </c>
    </row>
    <row r="6" spans="1:3">
      <c r="A6" s="3">
        <v>99999.99</v>
      </c>
      <c r="B6" s="5">
        <v>0.27500000000000002</v>
      </c>
      <c r="C6" s="3">
        <v>908.73</v>
      </c>
    </row>
    <row r="7" spans="1:3">
      <c r="A7" s="2"/>
      <c r="B7" s="2"/>
      <c r="C7" s="2"/>
    </row>
    <row r="8" spans="1:3">
      <c r="A8" s="2"/>
      <c r="B8" s="2"/>
      <c r="C8" s="2"/>
    </row>
    <row r="9" spans="1:3">
      <c r="A9" s="2"/>
      <c r="B9" s="2"/>
      <c r="C9" s="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E16"/>
  <sheetViews>
    <sheetView zoomScale="80" zoomScaleNormal="80" zoomScaleSheetLayoutView="90" workbookViewId="0">
      <selection activeCell="B6" sqref="B6"/>
    </sheetView>
  </sheetViews>
  <sheetFormatPr defaultRowHeight="15"/>
  <cols>
    <col min="1" max="1" width="29" bestFit="1" customWidth="1"/>
    <col min="2" max="3" width="18.42578125" bestFit="1" customWidth="1"/>
    <col min="4" max="4" width="41.28515625" bestFit="1" customWidth="1"/>
    <col min="5" max="5" width="16.42578125" bestFit="1" customWidth="1"/>
  </cols>
  <sheetData>
    <row r="3" spans="1:5">
      <c r="B3">
        <v>5000</v>
      </c>
    </row>
    <row r="4" spans="1:5" ht="15.75" thickBot="1">
      <c r="B4" s="8"/>
    </row>
    <row r="5" spans="1:5" ht="15.75" thickBot="1">
      <c r="A5" s="8" t="s">
        <v>12</v>
      </c>
      <c r="B5" s="12">
        <v>0</v>
      </c>
      <c r="D5" t="s">
        <v>4</v>
      </c>
      <c r="E5" s="12">
        <f>B5*1.35</f>
        <v>0</v>
      </c>
    </row>
    <row r="7" spans="1:5" ht="15.75" thickBot="1">
      <c r="A7" t="s">
        <v>3</v>
      </c>
      <c r="B7" s="10">
        <f>MIN(900,
  IF(Input_Salario &gt; 1518, 1518 * 0.075, Input_Salario * 0.075) +
  IF(Input_Salario &gt; 1518, MIN(Input_Salario - 1518, 2793 - 1518) * 0.09, 0) +
  IF(Input_Salario &gt; 2793, MIN(Input_Salario - 2793, 4190 - 2793) * 0.12, 0) +
  IF(Input_Salario &gt; 4190, MIN(Input_Salario - 4190, 8157 - 4190) * 0.14, 0)
)</f>
        <v>0</v>
      </c>
      <c r="D7" t="s">
        <v>5</v>
      </c>
      <c r="E7" s="11">
        <f>E5 * 0.06</f>
        <v>0</v>
      </c>
    </row>
    <row r="8" spans="1:5" ht="15.75" thickBot="1">
      <c r="D8" t="s">
        <v>6</v>
      </c>
      <c r="E8" s="12"/>
    </row>
    <row r="10" spans="1:5">
      <c r="A10" s="7" t="s">
        <v>13</v>
      </c>
      <c r="B10" s="11">
        <f>B5 - B7 - B8</f>
        <v>0</v>
      </c>
      <c r="D10" s="7" t="s">
        <v>11</v>
      </c>
      <c r="E10" s="11">
        <f>E5 - E7</f>
        <v>0</v>
      </c>
    </row>
    <row r="13" spans="1:5" ht="15.75" thickBot="1"/>
    <row r="14" spans="1:5" ht="15.75" thickBot="1">
      <c r="A14" s="1" t="s">
        <v>7</v>
      </c>
      <c r="B14" s="1" t="s">
        <v>8</v>
      </c>
      <c r="C14" s="1" t="s">
        <v>9</v>
      </c>
    </row>
    <row r="15" spans="1:5" ht="15.75" thickBot="1">
      <c r="A15" s="1" t="s">
        <v>10</v>
      </c>
      <c r="B15" s="9">
        <f>(B10 * 13.33) + (B5 * 0.08 * 12)</f>
        <v>0</v>
      </c>
      <c r="C15" s="9">
        <f>E10 * 12</f>
        <v>0</v>
      </c>
    </row>
    <row r="16" spans="1:5">
      <c r="E16" s="11"/>
    </row>
  </sheetData>
  <sheetProtection selectLockedCells="1"/>
  <pageMargins left="0.511811024" right="0.511811024" top="0.78740157499999996" bottom="0.78740157499999996" header="0.31496062000000002" footer="0.31496062000000002"/>
  <pageSetup paperSize="9" scale="77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showGridLines="0" showRowColHeaders="0" tabSelected="1" workbookViewId="0">
      <selection activeCell="U2" sqref="U2"/>
    </sheetView>
  </sheetViews>
  <sheetFormatPr defaultRowHeight="15"/>
  <cols>
    <col min="1" max="16384" width="9.140625" style="13"/>
  </cols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parametros</vt:lpstr>
      <vt:lpstr>Calculadora</vt:lpstr>
      <vt:lpstr>Plan3</vt:lpstr>
      <vt:lpstr>Calculadora!Area_de_impressao</vt:lpstr>
      <vt:lpstr>Input_Salario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2026-02-09T11:12:10Z</dcterms:created>
  <dcterms:modified xsi:type="dcterms:W3CDTF">2026-02-10T12:52:55Z</dcterms:modified>
</cp:coreProperties>
</file>